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 motif" sheetId="1" r:id="rId4"/>
    <sheet state="visible" name="long motif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grün = größer 0,1 = hohe Übereinstimmung
	-Xenia Schneider
----
grün = Verteilung gleich
rot = signifikante Unterschiede zwischen Verteilungen
	-Xenia Schneider
----
Farbskala, dunkler = größere Unterschiede
	-Xenia Schneider
----
Die Wasserstein-Distanz misst den minimalen Aufwand, eine Verteilung in die andere zu „verschieben“. Sie berücksichtigt die tatsächlichen Abstände zwischen den Datenpunkten und ist daher quantitativ interpretierbar.
Sie ist immer ≥ 0. Kleinere Werte bedeuten größere Ähnlichkeit.
	-Xenia Schneider
----
KS-Distanz = maximaler Abstand der kumulativen Verteilungsfunktion (CDFs)
D-Wert klein = hohe Übereinstimmung
p-Wert = statistische Signifikanz
p &gt;0.05  kein signifikanter Unterschied, Nullhypothese „beide Verteilungen sind gleich“ kann nicht verworfen werden
p&lt;0.05  signifikanter Unterschied zwischen den Verteilungen
	-Xenia Schneider</t>
      </text>
    </comment>
    <comment authorId="0" ref="B12">
      <text>
        <t xml:space="preserve">Nur gelbe felder verändern, Index des jeweiligen bp eintragen
	-Xenia Schneider</t>
      </text>
    </comment>
    <comment authorId="0" ref="A4">
      <text>
        <t xml:space="preserve">2 nucleotides away from motif centre
	-Xenia Schneider</t>
      </text>
    </comment>
    <comment authorId="0" ref="F10">
      <text>
        <t xml:space="preserve">complementing chain
	-Xenia Schneider</t>
      </text>
    </comment>
    <comment authorId="0" ref="D11">
      <text>
        <t xml:space="preserve">end of upper array +1
	-Xenia Schneider
_Als geklärt gekennzeichnet_
	-Xenia Schneider
_Erneut geöffnet_
	-Xenia Schneider</t>
      </text>
    </comment>
    <comment authorId="0" ref="B11">
      <text>
        <t xml:space="preserve">Nucleotid Index in oxView
	-Xenia Schneider
ssDNA at 5'-End of Chain
	-Xenia Schneider</t>
      </text>
    </comment>
  </commentList>
</comments>
</file>

<file path=xl/sharedStrings.xml><?xml version="1.0" encoding="utf-8"?>
<sst xmlns="http://schemas.openxmlformats.org/spreadsheetml/2006/main" count="113" uniqueCount="21">
  <si>
    <t>short_motif</t>
  </si>
  <si>
    <t>Number bp</t>
  </si>
  <si>
    <t>5' end</t>
  </si>
  <si>
    <t>complementing bp</t>
  </si>
  <si>
    <t>base angle</t>
  </si>
  <si>
    <t>bp index</t>
  </si>
  <si>
    <t>np.arange()</t>
  </si>
  <si>
    <t>Cain 0</t>
  </si>
  <si>
    <t>Cain 1</t>
  </si>
  <si>
    <t>Cain 2</t>
  </si>
  <si>
    <t>10bp pro Abschnitt</t>
  </si>
  <si>
    <t>8bp pro SE, 5bp pro Armabschnitt</t>
  </si>
  <si>
    <t>sticky-end angle</t>
  </si>
  <si>
    <t>HP</t>
  </si>
  <si>
    <t>arm angle 1</t>
  </si>
  <si>
    <t>arm angle 2</t>
  </si>
  <si>
    <t>arm axis angle</t>
  </si>
  <si>
    <t>arm angle 3</t>
  </si>
  <si>
    <t>inter-motif rotation angle</t>
  </si>
  <si>
    <t>Number bp in bm</t>
  </si>
  <si>
    <t>long_motif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</si>
</sst>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2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4" numFmtId="0" xfId="0" applyFon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4" fontId="3" numFmtId="0" xfId="0" applyBorder="1" applyFill="1" applyFont="1"/>
    <xf borderId="0" fillId="2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3.38"/>
    <col customWidth="1" min="3" max="3" width="5.13"/>
    <col customWidth="1" min="4" max="4" width="3.38"/>
    <col customWidth="1" min="5" max="5" width="6.0"/>
    <col customWidth="1" min="6" max="6" width="3.38"/>
    <col customWidth="1" min="7" max="7" width="5.63"/>
    <col customWidth="1" min="8" max="8" width="3.38"/>
    <col customWidth="1" min="9" max="9" width="7.0"/>
    <col customWidth="1" min="10" max="10" width="9.38"/>
    <col customWidth="1" min="11" max="11" width="5.88"/>
    <col customWidth="1" min="12" max="12" width="3.38"/>
    <col customWidth="1" min="13" max="13" width="6.63"/>
    <col customWidth="1" min="14" max="14" width="4.0"/>
    <col customWidth="1" min="15" max="15" width="5.88"/>
    <col customWidth="1" min="16" max="16" width="4.0"/>
    <col customWidth="1" min="17" max="17" width="5.63"/>
    <col customWidth="1" min="18" max="18" width="4.0"/>
    <col customWidth="1" min="19" max="19" width="17.75"/>
    <col customWidth="1" min="20" max="20" width="3.88"/>
    <col customWidth="1" min="21" max="21" width="4.0"/>
    <col customWidth="1" min="22" max="22" width="3.88"/>
    <col customWidth="1" min="23" max="23" width="4.0"/>
    <col customWidth="1" min="24" max="27" width="3.0"/>
    <col customWidth="1" min="28" max="29" width="9.38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4.25" customHeight="1">
      <c r="A2" s="3" t="s">
        <v>1</v>
      </c>
      <c r="B2" s="3">
        <v>126.0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4" t="s">
        <v>2</v>
      </c>
      <c r="F3" s="5" t="s">
        <v>3</v>
      </c>
    </row>
    <row r="4" ht="14.25" customHeight="1">
      <c r="A4" s="1" t="s">
        <v>4</v>
      </c>
      <c r="B4" s="4" t="s">
        <v>5</v>
      </c>
      <c r="D4" s="4" t="s">
        <v>6</v>
      </c>
      <c r="F4" s="4" t="s">
        <v>5</v>
      </c>
      <c r="H4" s="4" t="s">
        <v>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4.25" customHeight="1">
      <c r="A5" s="3" t="s">
        <v>7</v>
      </c>
      <c r="B5" s="3">
        <f t="shared" ref="B5:B7" si="1">C5+9</f>
        <v>28</v>
      </c>
      <c r="C5" s="6">
        <v>19.0</v>
      </c>
      <c r="D5" s="7">
        <f t="shared" ref="D5:D7" si="2">C5</f>
        <v>19</v>
      </c>
      <c r="E5" s="7">
        <f t="shared" ref="E5:E7" si="3">B5+1</f>
        <v>29</v>
      </c>
      <c r="F5" s="3">
        <f t="shared" ref="F5:F7" si="4">G5-9</f>
        <v>47</v>
      </c>
      <c r="G5" s="6">
        <v>56.0</v>
      </c>
      <c r="H5" s="8">
        <f t="shared" ref="H5:H7" si="5">F5</f>
        <v>47</v>
      </c>
      <c r="I5" s="8">
        <f t="shared" ref="I5:I7" si="6">G5+1</f>
        <v>57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4.25" customHeight="1">
      <c r="A6" s="3" t="s">
        <v>8</v>
      </c>
      <c r="B6" s="3">
        <f t="shared" si="1"/>
        <v>70</v>
      </c>
      <c r="C6" s="6">
        <v>61.0</v>
      </c>
      <c r="D6" s="7">
        <f t="shared" si="2"/>
        <v>61</v>
      </c>
      <c r="E6" s="7">
        <f t="shared" si="3"/>
        <v>71</v>
      </c>
      <c r="F6" s="3">
        <f t="shared" si="4"/>
        <v>89</v>
      </c>
      <c r="G6" s="6">
        <v>98.0</v>
      </c>
      <c r="H6" s="8">
        <f t="shared" si="5"/>
        <v>89</v>
      </c>
      <c r="I6" s="8">
        <f t="shared" si="6"/>
        <v>99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4.25" customHeight="1">
      <c r="A7" s="3" t="s">
        <v>9</v>
      </c>
      <c r="B7" s="3">
        <f t="shared" si="1"/>
        <v>112</v>
      </c>
      <c r="C7" s="6">
        <v>103.0</v>
      </c>
      <c r="D7" s="7">
        <f t="shared" si="2"/>
        <v>103</v>
      </c>
      <c r="E7" s="7">
        <f t="shared" si="3"/>
        <v>113</v>
      </c>
      <c r="F7" s="3">
        <f t="shared" si="4"/>
        <v>5</v>
      </c>
      <c r="G7" s="6">
        <v>14.0</v>
      </c>
      <c r="H7" s="8">
        <f t="shared" si="5"/>
        <v>5</v>
      </c>
      <c r="I7" s="8">
        <f t="shared" si="6"/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25" customHeight="1">
      <c r="A8" s="9"/>
      <c r="B8" s="5"/>
      <c r="C8" s="5"/>
      <c r="D8" s="5"/>
      <c r="E8" s="5"/>
      <c r="F8" s="5"/>
      <c r="G8" s="5"/>
      <c r="H8" s="5"/>
      <c r="I8" s="5"/>
      <c r="J8" s="2"/>
      <c r="K8" s="3"/>
      <c r="L8" s="3"/>
      <c r="M8" s="3"/>
      <c r="N8" s="3"/>
      <c r="O8" s="3"/>
      <c r="P8" s="3"/>
      <c r="Q8" s="3"/>
      <c r="R8" s="3"/>
      <c r="S8" s="3"/>
      <c r="T8" s="2"/>
      <c r="U8" s="2"/>
      <c r="V8" s="2"/>
      <c r="W8" s="2"/>
      <c r="X8" s="2"/>
      <c r="Y8" s="2"/>
      <c r="Z8" s="2"/>
      <c r="AA8" s="2"/>
      <c r="AB8" s="2"/>
      <c r="AC8" s="2"/>
    </row>
    <row r="9" ht="14.25" customHeight="1">
      <c r="A9" s="9"/>
      <c r="B9" s="5" t="s">
        <v>10</v>
      </c>
      <c r="K9" s="10" t="s">
        <v>11</v>
      </c>
      <c r="S9" s="3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25" customHeight="1">
      <c r="A10" s="11" t="s">
        <v>12</v>
      </c>
      <c r="B10" s="4" t="s">
        <v>2</v>
      </c>
      <c r="F10" s="5" t="s">
        <v>3</v>
      </c>
      <c r="J10" s="2"/>
      <c r="K10" s="12" t="s">
        <v>2</v>
      </c>
      <c r="O10" s="5" t="s">
        <v>3</v>
      </c>
      <c r="AB10" s="2"/>
      <c r="AC10" s="2"/>
    </row>
    <row r="11" ht="14.25" customHeight="1">
      <c r="A11" s="2" t="s">
        <v>7</v>
      </c>
      <c r="B11" s="4" t="s">
        <v>5</v>
      </c>
      <c r="D11" s="4" t="s">
        <v>6</v>
      </c>
      <c r="F11" s="4" t="s">
        <v>5</v>
      </c>
      <c r="H11" s="4" t="s">
        <v>6</v>
      </c>
      <c r="J11" s="2"/>
      <c r="K11" s="2" t="s">
        <v>5</v>
      </c>
      <c r="M11" s="2" t="s">
        <v>6</v>
      </c>
      <c r="O11" s="2" t="s">
        <v>5</v>
      </c>
      <c r="Q11" s="2" t="s">
        <v>6</v>
      </c>
      <c r="AB11" s="2"/>
      <c r="AC11" s="2"/>
    </row>
    <row r="12" ht="14.25" customHeight="1">
      <c r="A12" s="2" t="s">
        <v>13</v>
      </c>
      <c r="B12" s="6">
        <v>41.0</v>
      </c>
      <c r="C12" s="2">
        <f t="shared" ref="C12:C14" si="7">B12-9</f>
        <v>32</v>
      </c>
      <c r="D12" s="13">
        <f t="shared" ref="D12:D14" si="8">C12</f>
        <v>32</v>
      </c>
      <c r="E12" s="13">
        <f t="shared" ref="E12:E14" si="9">B12+1</f>
        <v>42</v>
      </c>
      <c r="F12" s="2"/>
      <c r="G12" s="2"/>
      <c r="H12" s="2"/>
      <c r="I12" s="2"/>
      <c r="J12" s="2"/>
      <c r="K12" s="6">
        <v>41.0</v>
      </c>
      <c r="L12" s="2">
        <f>K12-7</f>
        <v>34</v>
      </c>
      <c r="M12" s="13">
        <f t="shared" ref="M12:M14" si="10">L12</f>
        <v>34</v>
      </c>
      <c r="N12" s="13">
        <f t="shared" ref="N12:N14" si="11">K12+1</f>
        <v>42</v>
      </c>
      <c r="O12" s="2"/>
      <c r="P12" s="2"/>
      <c r="Q12" s="2"/>
      <c r="R12" s="2"/>
      <c r="AB12" s="2"/>
      <c r="AC12" s="2"/>
    </row>
    <row r="13" ht="14.25" customHeight="1">
      <c r="A13" s="2" t="s">
        <v>14</v>
      </c>
      <c r="B13" s="2">
        <f t="shared" ref="B13:B14" si="12">C12-1</f>
        <v>31</v>
      </c>
      <c r="C13" s="2">
        <f t="shared" si="7"/>
        <v>22</v>
      </c>
      <c r="D13" s="13">
        <f t="shared" si="8"/>
        <v>22</v>
      </c>
      <c r="E13" s="13">
        <f t="shared" si="9"/>
        <v>32</v>
      </c>
      <c r="F13" s="6">
        <v>42.0</v>
      </c>
      <c r="G13" s="2">
        <f t="shared" ref="G13:G14" si="13">F13+9</f>
        <v>51</v>
      </c>
      <c r="H13" s="13">
        <f t="shared" ref="H13:H14" si="14">F13</f>
        <v>42</v>
      </c>
      <c r="I13" s="13">
        <f t="shared" ref="I13:I14" si="15">G13+1</f>
        <v>52</v>
      </c>
      <c r="J13" s="2"/>
      <c r="K13" s="2">
        <f t="shared" ref="K13:K14" si="16">L12-1</f>
        <v>33</v>
      </c>
      <c r="L13" s="2">
        <f t="shared" ref="L13:L14" si="17">K13-4</f>
        <v>29</v>
      </c>
      <c r="M13" s="13">
        <f t="shared" si="10"/>
        <v>29</v>
      </c>
      <c r="N13" s="13">
        <f t="shared" si="11"/>
        <v>34</v>
      </c>
      <c r="O13" s="6">
        <v>42.0</v>
      </c>
      <c r="P13" s="2">
        <f t="shared" ref="P13:P14" si="18">O13+4</f>
        <v>46</v>
      </c>
      <c r="Q13" s="13">
        <f t="shared" ref="Q13:Q14" si="19">O13</f>
        <v>42</v>
      </c>
      <c r="R13" s="13">
        <f t="shared" ref="R13:R14" si="20">P13+1</f>
        <v>47</v>
      </c>
      <c r="AB13" s="2"/>
      <c r="AC13" s="2"/>
    </row>
    <row r="14" ht="14.25" customHeight="1">
      <c r="A14" s="2" t="s">
        <v>15</v>
      </c>
      <c r="B14" s="2">
        <f t="shared" si="12"/>
        <v>21</v>
      </c>
      <c r="C14" s="2">
        <f t="shared" si="7"/>
        <v>12</v>
      </c>
      <c r="D14" s="13">
        <f t="shared" si="8"/>
        <v>12</v>
      </c>
      <c r="E14" s="13">
        <f t="shared" si="9"/>
        <v>22</v>
      </c>
      <c r="F14" s="2">
        <f>G13+1</f>
        <v>52</v>
      </c>
      <c r="G14" s="2">
        <f t="shared" si="13"/>
        <v>61</v>
      </c>
      <c r="H14" s="13">
        <f t="shared" si="14"/>
        <v>52</v>
      </c>
      <c r="I14" s="13">
        <f t="shared" si="15"/>
        <v>62</v>
      </c>
      <c r="J14" s="2"/>
      <c r="K14" s="2">
        <f t="shared" si="16"/>
        <v>28</v>
      </c>
      <c r="L14" s="2">
        <f t="shared" si="17"/>
        <v>24</v>
      </c>
      <c r="M14" s="13">
        <f t="shared" si="10"/>
        <v>24</v>
      </c>
      <c r="N14" s="13">
        <f t="shared" si="11"/>
        <v>29</v>
      </c>
      <c r="O14" s="2">
        <f>P13+1</f>
        <v>47</v>
      </c>
      <c r="P14" s="2">
        <f t="shared" si="18"/>
        <v>51</v>
      </c>
      <c r="Q14" s="13">
        <f t="shared" si="19"/>
        <v>47</v>
      </c>
      <c r="R14" s="13">
        <f t="shared" si="20"/>
        <v>52</v>
      </c>
      <c r="AB14" s="2"/>
      <c r="AC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AB15" s="2"/>
      <c r="AC15" s="2"/>
    </row>
    <row r="16" ht="14.25" customHeight="1">
      <c r="A16" s="2" t="s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4.25" customHeight="1">
      <c r="A17" s="2" t="s">
        <v>13</v>
      </c>
      <c r="B17" s="6">
        <v>83.0</v>
      </c>
      <c r="C17" s="2">
        <f t="shared" ref="C17:C19" si="21">B17-9</f>
        <v>74</v>
      </c>
      <c r="D17" s="13">
        <f t="shared" ref="D17:D19" si="22">C17</f>
        <v>74</v>
      </c>
      <c r="E17" s="13">
        <f t="shared" ref="E17:E19" si="23">B17+1</f>
        <v>84</v>
      </c>
      <c r="F17" s="2"/>
      <c r="G17" s="2"/>
      <c r="H17" s="2"/>
      <c r="I17" s="2"/>
      <c r="J17" s="2"/>
      <c r="K17" s="6">
        <v>83.0</v>
      </c>
      <c r="L17" s="2">
        <f>K17-7</f>
        <v>76</v>
      </c>
      <c r="M17" s="13">
        <f t="shared" ref="M17:M19" si="24">L17</f>
        <v>76</v>
      </c>
      <c r="N17" s="13">
        <f t="shared" ref="N17:N19" si="25">K17+1</f>
        <v>84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25" customHeight="1">
      <c r="A18" s="2" t="s">
        <v>14</v>
      </c>
      <c r="B18" s="2">
        <f t="shared" ref="B18:B19" si="26">C17-1</f>
        <v>73</v>
      </c>
      <c r="C18" s="2">
        <f t="shared" si="21"/>
        <v>64</v>
      </c>
      <c r="D18" s="13">
        <f t="shared" si="22"/>
        <v>64</v>
      </c>
      <c r="E18" s="13">
        <f t="shared" si="23"/>
        <v>74</v>
      </c>
      <c r="F18" s="6">
        <v>84.0</v>
      </c>
      <c r="G18" s="2">
        <f t="shared" ref="G18:G19" si="27">F18+9</f>
        <v>93</v>
      </c>
      <c r="H18" s="13">
        <f t="shared" ref="H18:H19" si="28">F18</f>
        <v>84</v>
      </c>
      <c r="I18" s="13">
        <f t="shared" ref="I18:I19" si="29">G18+1</f>
        <v>94</v>
      </c>
      <c r="J18" s="2"/>
      <c r="K18" s="2">
        <f t="shared" ref="K18:K19" si="30">L17-1</f>
        <v>75</v>
      </c>
      <c r="L18" s="2">
        <f t="shared" ref="L18:L19" si="31">K18-4</f>
        <v>71</v>
      </c>
      <c r="M18" s="13">
        <f t="shared" si="24"/>
        <v>71</v>
      </c>
      <c r="N18" s="13">
        <f t="shared" si="25"/>
        <v>76</v>
      </c>
      <c r="O18" s="6">
        <v>84.0</v>
      </c>
      <c r="P18" s="2">
        <f t="shared" ref="P18:P19" si="32">O18+4</f>
        <v>88</v>
      </c>
      <c r="Q18" s="13">
        <f t="shared" ref="Q18:Q19" si="33">O18</f>
        <v>84</v>
      </c>
      <c r="R18" s="13">
        <f t="shared" ref="R18:R19" si="34">P18+1</f>
        <v>89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4.25" customHeight="1">
      <c r="A19" s="2" t="s">
        <v>15</v>
      </c>
      <c r="B19" s="2">
        <f t="shared" si="26"/>
        <v>63</v>
      </c>
      <c r="C19" s="2">
        <f t="shared" si="21"/>
        <v>54</v>
      </c>
      <c r="D19" s="13">
        <f t="shared" si="22"/>
        <v>54</v>
      </c>
      <c r="E19" s="13">
        <f t="shared" si="23"/>
        <v>64</v>
      </c>
      <c r="F19" s="2">
        <f>G18+1</f>
        <v>94</v>
      </c>
      <c r="G19" s="2">
        <f t="shared" si="27"/>
        <v>103</v>
      </c>
      <c r="H19" s="13">
        <f t="shared" si="28"/>
        <v>94</v>
      </c>
      <c r="I19" s="13">
        <f t="shared" si="29"/>
        <v>104</v>
      </c>
      <c r="J19" s="2"/>
      <c r="K19" s="2">
        <f t="shared" si="30"/>
        <v>70</v>
      </c>
      <c r="L19" s="2">
        <f t="shared" si="31"/>
        <v>66</v>
      </c>
      <c r="M19" s="13">
        <f t="shared" si="24"/>
        <v>66</v>
      </c>
      <c r="N19" s="13">
        <f t="shared" si="25"/>
        <v>71</v>
      </c>
      <c r="O19" s="2">
        <f>P18+1</f>
        <v>89</v>
      </c>
      <c r="P19" s="2">
        <f t="shared" si="32"/>
        <v>93</v>
      </c>
      <c r="Q19" s="13">
        <f t="shared" si="33"/>
        <v>89</v>
      </c>
      <c r="R19" s="13">
        <f t="shared" si="34"/>
        <v>94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25" customHeight="1">
      <c r="A21" s="2" t="s">
        <v>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.25" customHeight="1">
      <c r="A22" s="2" t="s">
        <v>13</v>
      </c>
      <c r="B22" s="6">
        <v>125.0</v>
      </c>
      <c r="C22" s="2">
        <f t="shared" ref="C22:C24" si="35">B22-9</f>
        <v>116</v>
      </c>
      <c r="D22" s="13">
        <f t="shared" ref="D22:D24" si="36">C22</f>
        <v>116</v>
      </c>
      <c r="E22" s="13">
        <f t="shared" ref="E22:E24" si="37">B22+1</f>
        <v>126</v>
      </c>
      <c r="F22" s="2"/>
      <c r="G22" s="2"/>
      <c r="H22" s="2"/>
      <c r="I22" s="2"/>
      <c r="J22" s="2"/>
      <c r="K22" s="6">
        <v>125.0</v>
      </c>
      <c r="L22" s="2">
        <f>K22-7</f>
        <v>118</v>
      </c>
      <c r="M22" s="13">
        <f t="shared" ref="M22:M24" si="38">L22</f>
        <v>118</v>
      </c>
      <c r="N22" s="13">
        <f t="shared" ref="N22:N24" si="39">K22+1</f>
        <v>126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4.25" customHeight="1">
      <c r="A23" s="2" t="s">
        <v>14</v>
      </c>
      <c r="B23" s="2">
        <f t="shared" ref="B23:B24" si="40">C22-1</f>
        <v>115</v>
      </c>
      <c r="C23" s="2">
        <f t="shared" si="35"/>
        <v>106</v>
      </c>
      <c r="D23" s="13">
        <f t="shared" si="36"/>
        <v>106</v>
      </c>
      <c r="E23" s="13">
        <f t="shared" si="37"/>
        <v>116</v>
      </c>
      <c r="F23" s="6">
        <v>0.0</v>
      </c>
      <c r="G23" s="2">
        <f t="shared" ref="G23:G24" si="41">F23+9</f>
        <v>9</v>
      </c>
      <c r="H23" s="13">
        <f t="shared" ref="H23:H24" si="42">F23</f>
        <v>0</v>
      </c>
      <c r="I23" s="13">
        <f t="shared" ref="I23:I24" si="43">G23+1</f>
        <v>10</v>
      </c>
      <c r="J23" s="2"/>
      <c r="K23" s="2">
        <f t="shared" ref="K23:K24" si="44">L22-1</f>
        <v>117</v>
      </c>
      <c r="L23" s="2">
        <f t="shared" ref="L23:L24" si="45">K23-4</f>
        <v>113</v>
      </c>
      <c r="M23" s="13">
        <f t="shared" si="38"/>
        <v>113</v>
      </c>
      <c r="N23" s="13">
        <f t="shared" si="39"/>
        <v>118</v>
      </c>
      <c r="O23" s="6">
        <v>0.0</v>
      </c>
      <c r="P23" s="2">
        <f t="shared" ref="P23:P24" si="46">O23+4</f>
        <v>4</v>
      </c>
      <c r="Q23" s="13">
        <f t="shared" ref="Q23:Q24" si="47">O23</f>
        <v>0</v>
      </c>
      <c r="R23" s="13">
        <f t="shared" ref="R23:R24" si="48">P23+1</f>
        <v>5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4.25" customHeight="1">
      <c r="A24" s="2" t="s">
        <v>15</v>
      </c>
      <c r="B24" s="2">
        <f t="shared" si="40"/>
        <v>105</v>
      </c>
      <c r="C24" s="2">
        <f t="shared" si="35"/>
        <v>96</v>
      </c>
      <c r="D24" s="13">
        <f t="shared" si="36"/>
        <v>96</v>
      </c>
      <c r="E24" s="13">
        <f t="shared" si="37"/>
        <v>106</v>
      </c>
      <c r="F24" s="2">
        <f>G23+1</f>
        <v>10</v>
      </c>
      <c r="G24" s="2">
        <f t="shared" si="41"/>
        <v>19</v>
      </c>
      <c r="H24" s="13">
        <f t="shared" si="42"/>
        <v>10</v>
      </c>
      <c r="I24" s="13">
        <f t="shared" si="43"/>
        <v>20</v>
      </c>
      <c r="J24" s="2"/>
      <c r="K24" s="2">
        <f t="shared" si="44"/>
        <v>112</v>
      </c>
      <c r="L24" s="2">
        <f t="shared" si="45"/>
        <v>108</v>
      </c>
      <c r="M24" s="13">
        <f t="shared" si="38"/>
        <v>108</v>
      </c>
      <c r="N24" s="13">
        <f t="shared" si="39"/>
        <v>113</v>
      </c>
      <c r="O24" s="2">
        <f>P23+1</f>
        <v>5</v>
      </c>
      <c r="P24" s="2">
        <f t="shared" si="46"/>
        <v>9</v>
      </c>
      <c r="Q24" s="13">
        <f t="shared" si="47"/>
        <v>5</v>
      </c>
      <c r="R24" s="13">
        <f t="shared" si="48"/>
        <v>10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>
      <c r="A27" s="9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>
      <c r="A28" s="2" t="s">
        <v>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>
      <c r="A29" s="2" t="s">
        <v>14</v>
      </c>
      <c r="B29" s="14">
        <f>33</f>
        <v>33</v>
      </c>
      <c r="C29" s="2">
        <f t="shared" ref="C29:C31" si="49">B29-9</f>
        <v>24</v>
      </c>
      <c r="D29" s="13">
        <f t="shared" ref="D29:D41" si="50">C29</f>
        <v>24</v>
      </c>
      <c r="E29" s="13">
        <f t="shared" ref="E29:E31" si="51">B29+1</f>
        <v>34</v>
      </c>
      <c r="F29" s="14">
        <v>42.0</v>
      </c>
      <c r="G29" s="2">
        <f t="shared" ref="G29:G31" si="52">F29+9</f>
        <v>51</v>
      </c>
      <c r="H29" s="13">
        <f t="shared" ref="H29:H41" si="53">F29</f>
        <v>42</v>
      </c>
      <c r="I29" s="13">
        <f t="shared" ref="I29:I31" si="54">G29+1</f>
        <v>52</v>
      </c>
      <c r="J29" s="2"/>
      <c r="K29" s="14">
        <v>33.0</v>
      </c>
      <c r="L29" s="2">
        <f t="shared" ref="L29:L31" si="55">K29-7</f>
        <v>26</v>
      </c>
      <c r="M29" s="13">
        <f t="shared" ref="M29:M41" si="56">L29</f>
        <v>26</v>
      </c>
      <c r="N29" s="13">
        <f t="shared" ref="N29:N31" si="57">K29+1</f>
        <v>34</v>
      </c>
      <c r="O29" s="14">
        <v>42.0</v>
      </c>
      <c r="P29" s="2">
        <f t="shared" ref="P29:P31" si="58">O29+7</f>
        <v>49</v>
      </c>
      <c r="Q29" s="13">
        <f t="shared" ref="Q29:Q41" si="59">O29</f>
        <v>42</v>
      </c>
      <c r="R29" s="13">
        <f t="shared" ref="R29:R31" si="60">P29+1</f>
        <v>50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>
      <c r="A30" s="2" t="s">
        <v>15</v>
      </c>
      <c r="B30" s="3">
        <f t="shared" ref="B30:B31" si="61">B29-3</f>
        <v>30</v>
      </c>
      <c r="C30" s="2">
        <f t="shared" si="49"/>
        <v>21</v>
      </c>
      <c r="D30" s="13">
        <f t="shared" si="50"/>
        <v>21</v>
      </c>
      <c r="E30" s="13">
        <f t="shared" si="51"/>
        <v>31</v>
      </c>
      <c r="F30" s="2">
        <f t="shared" ref="F30:F31" si="62">F29+3</f>
        <v>45</v>
      </c>
      <c r="G30" s="2">
        <f t="shared" si="52"/>
        <v>54</v>
      </c>
      <c r="H30" s="13">
        <f t="shared" si="53"/>
        <v>45</v>
      </c>
      <c r="I30" s="13">
        <f t="shared" si="54"/>
        <v>55</v>
      </c>
      <c r="J30" s="2"/>
      <c r="K30" s="2">
        <f t="shared" ref="K30:K31" si="63">K29+3</f>
        <v>36</v>
      </c>
      <c r="L30" s="2">
        <f t="shared" si="55"/>
        <v>29</v>
      </c>
      <c r="M30" s="13">
        <f t="shared" si="56"/>
        <v>29</v>
      </c>
      <c r="N30" s="13">
        <f t="shared" si="57"/>
        <v>37</v>
      </c>
      <c r="O30" s="2">
        <f t="shared" ref="O30:O31" si="64">O29+3</f>
        <v>45</v>
      </c>
      <c r="P30" s="2">
        <f t="shared" si="58"/>
        <v>52</v>
      </c>
      <c r="Q30" s="13">
        <f t="shared" si="59"/>
        <v>45</v>
      </c>
      <c r="R30" s="13">
        <f t="shared" si="60"/>
        <v>53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>
      <c r="A31" s="2" t="s">
        <v>17</v>
      </c>
      <c r="B31" s="2">
        <f t="shared" si="61"/>
        <v>27</v>
      </c>
      <c r="C31" s="2">
        <f t="shared" si="49"/>
        <v>18</v>
      </c>
      <c r="D31" s="13">
        <f t="shared" si="50"/>
        <v>18</v>
      </c>
      <c r="E31" s="13">
        <f t="shared" si="51"/>
        <v>28</v>
      </c>
      <c r="F31" s="2">
        <f t="shared" si="62"/>
        <v>48</v>
      </c>
      <c r="G31" s="2">
        <f t="shared" si="52"/>
        <v>57</v>
      </c>
      <c r="H31" s="13">
        <f t="shared" si="53"/>
        <v>48</v>
      </c>
      <c r="I31" s="13">
        <f t="shared" si="54"/>
        <v>58</v>
      </c>
      <c r="J31" s="2"/>
      <c r="K31" s="2">
        <f t="shared" si="63"/>
        <v>39</v>
      </c>
      <c r="L31" s="2">
        <f t="shared" si="55"/>
        <v>32</v>
      </c>
      <c r="M31" s="13">
        <f t="shared" si="56"/>
        <v>32</v>
      </c>
      <c r="N31" s="13">
        <f t="shared" si="57"/>
        <v>40</v>
      </c>
      <c r="O31" s="2">
        <f t="shared" si="64"/>
        <v>48</v>
      </c>
      <c r="P31" s="2">
        <f t="shared" si="58"/>
        <v>55</v>
      </c>
      <c r="Q31" s="13">
        <f t="shared" si="59"/>
        <v>48</v>
      </c>
      <c r="R31" s="13">
        <f t="shared" si="60"/>
        <v>56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25" customHeight="1">
      <c r="A32" s="2"/>
      <c r="B32" s="2"/>
      <c r="C32" s="2"/>
      <c r="D32" s="2" t="str">
        <f t="shared" si="50"/>
        <v/>
      </c>
      <c r="E32" s="2"/>
      <c r="F32" s="2"/>
      <c r="G32" s="2"/>
      <c r="H32" s="2" t="str">
        <f t="shared" si="53"/>
        <v/>
      </c>
      <c r="I32" s="2"/>
      <c r="J32" s="2"/>
      <c r="K32" s="2"/>
      <c r="L32" s="2"/>
      <c r="M32" s="2" t="str">
        <f t="shared" si="56"/>
        <v/>
      </c>
      <c r="N32" s="2"/>
      <c r="O32" s="2"/>
      <c r="P32" s="2"/>
      <c r="Q32" s="2" t="str">
        <f t="shared" si="59"/>
        <v/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>
      <c r="A33" s="2" t="s">
        <v>8</v>
      </c>
      <c r="B33" s="2"/>
      <c r="C33" s="2"/>
      <c r="D33" s="2" t="str">
        <f t="shared" si="50"/>
        <v/>
      </c>
      <c r="E33" s="2"/>
      <c r="F33" s="2"/>
      <c r="G33" s="2"/>
      <c r="H33" s="2" t="str">
        <f t="shared" si="53"/>
        <v/>
      </c>
      <c r="I33" s="2"/>
      <c r="J33" s="2"/>
      <c r="K33" s="2"/>
      <c r="L33" s="2"/>
      <c r="M33" s="2" t="str">
        <f t="shared" si="56"/>
        <v/>
      </c>
      <c r="N33" s="2"/>
      <c r="O33" s="2"/>
      <c r="P33" s="2"/>
      <c r="Q33" s="2" t="str">
        <f t="shared" si="59"/>
        <v/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>
      <c r="A34" s="2" t="s">
        <v>14</v>
      </c>
      <c r="B34" s="14">
        <v>75.0</v>
      </c>
      <c r="C34" s="2">
        <f t="shared" ref="C34:C36" si="65">B34-9</f>
        <v>66</v>
      </c>
      <c r="D34" s="13">
        <f t="shared" si="50"/>
        <v>66</v>
      </c>
      <c r="E34" s="13">
        <f t="shared" ref="E34:E36" si="66">B34+1</f>
        <v>76</v>
      </c>
      <c r="F34" s="14">
        <v>84.0</v>
      </c>
      <c r="G34" s="2">
        <f t="shared" ref="G34:G36" si="67">F34+9</f>
        <v>93</v>
      </c>
      <c r="H34" s="13">
        <f t="shared" si="53"/>
        <v>84</v>
      </c>
      <c r="I34" s="13">
        <f t="shared" ref="I34:I36" si="68">G34+1</f>
        <v>94</v>
      </c>
      <c r="J34" s="2"/>
      <c r="K34" s="14">
        <v>75.0</v>
      </c>
      <c r="L34" s="2">
        <f t="shared" ref="L34:L36" si="69">K34-7</f>
        <v>68</v>
      </c>
      <c r="M34" s="13">
        <f t="shared" si="56"/>
        <v>68</v>
      </c>
      <c r="N34" s="13">
        <f t="shared" ref="N34:N36" si="70">K34+1</f>
        <v>76</v>
      </c>
      <c r="O34" s="14">
        <v>84.0</v>
      </c>
      <c r="P34" s="2">
        <f t="shared" ref="P34:P36" si="71">O34+7</f>
        <v>91</v>
      </c>
      <c r="Q34" s="13">
        <f t="shared" si="59"/>
        <v>84</v>
      </c>
      <c r="R34" s="13">
        <f t="shared" ref="R34:R36" si="72">P34+1</f>
        <v>92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>
      <c r="A35" s="2" t="s">
        <v>15</v>
      </c>
      <c r="B35" s="2">
        <f t="shared" ref="B35:B36" si="73">B34-3</f>
        <v>72</v>
      </c>
      <c r="C35" s="2">
        <f t="shared" si="65"/>
        <v>63</v>
      </c>
      <c r="D35" s="13">
        <f t="shared" si="50"/>
        <v>63</v>
      </c>
      <c r="E35" s="13">
        <f t="shared" si="66"/>
        <v>73</v>
      </c>
      <c r="F35" s="2">
        <f t="shared" ref="F35:F36" si="74">F34+3</f>
        <v>87</v>
      </c>
      <c r="G35" s="2">
        <f t="shared" si="67"/>
        <v>96</v>
      </c>
      <c r="H35" s="13">
        <f t="shared" si="53"/>
        <v>87</v>
      </c>
      <c r="I35" s="13">
        <f t="shared" si="68"/>
        <v>97</v>
      </c>
      <c r="J35" s="2"/>
      <c r="K35" s="2">
        <f t="shared" ref="K35:K36" si="75">K34+3</f>
        <v>78</v>
      </c>
      <c r="L35" s="2">
        <f t="shared" si="69"/>
        <v>71</v>
      </c>
      <c r="M35" s="13">
        <f t="shared" si="56"/>
        <v>71</v>
      </c>
      <c r="N35" s="13">
        <f t="shared" si="70"/>
        <v>79</v>
      </c>
      <c r="O35" s="2">
        <f t="shared" ref="O35:O36" si="76">O34+3</f>
        <v>87</v>
      </c>
      <c r="P35" s="2">
        <f t="shared" si="71"/>
        <v>94</v>
      </c>
      <c r="Q35" s="13">
        <f t="shared" si="59"/>
        <v>87</v>
      </c>
      <c r="R35" s="13">
        <f t="shared" si="72"/>
        <v>95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>
      <c r="A36" s="2" t="s">
        <v>17</v>
      </c>
      <c r="B36" s="2">
        <f t="shared" si="73"/>
        <v>69</v>
      </c>
      <c r="C36" s="2">
        <f t="shared" si="65"/>
        <v>60</v>
      </c>
      <c r="D36" s="13">
        <f t="shared" si="50"/>
        <v>60</v>
      </c>
      <c r="E36" s="13">
        <f t="shared" si="66"/>
        <v>70</v>
      </c>
      <c r="F36" s="2">
        <f t="shared" si="74"/>
        <v>90</v>
      </c>
      <c r="G36" s="2">
        <f t="shared" si="67"/>
        <v>99</v>
      </c>
      <c r="H36" s="13">
        <f t="shared" si="53"/>
        <v>90</v>
      </c>
      <c r="I36" s="13">
        <f t="shared" si="68"/>
        <v>100</v>
      </c>
      <c r="J36" s="2"/>
      <c r="K36" s="2">
        <f t="shared" si="75"/>
        <v>81</v>
      </c>
      <c r="L36" s="2">
        <f t="shared" si="69"/>
        <v>74</v>
      </c>
      <c r="M36" s="13">
        <f t="shared" si="56"/>
        <v>74</v>
      </c>
      <c r="N36" s="13">
        <f t="shared" si="70"/>
        <v>82</v>
      </c>
      <c r="O36" s="2">
        <f t="shared" si="76"/>
        <v>90</v>
      </c>
      <c r="P36" s="2">
        <f t="shared" si="71"/>
        <v>97</v>
      </c>
      <c r="Q36" s="13">
        <f t="shared" si="59"/>
        <v>90</v>
      </c>
      <c r="R36" s="13">
        <f t="shared" si="72"/>
        <v>98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>
      <c r="A37" s="2"/>
      <c r="B37" s="2"/>
      <c r="C37" s="2"/>
      <c r="D37" s="2" t="str">
        <f t="shared" si="50"/>
        <v/>
      </c>
      <c r="E37" s="2"/>
      <c r="F37" s="2"/>
      <c r="G37" s="2"/>
      <c r="H37" s="2" t="str">
        <f t="shared" si="53"/>
        <v/>
      </c>
      <c r="I37" s="2"/>
      <c r="J37" s="2"/>
      <c r="K37" s="2"/>
      <c r="L37" s="2"/>
      <c r="M37" s="2" t="str">
        <f t="shared" si="56"/>
        <v/>
      </c>
      <c r="N37" s="2"/>
      <c r="O37" s="2"/>
      <c r="P37" s="2"/>
      <c r="Q37" s="2" t="str">
        <f t="shared" si="59"/>
        <v/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>
      <c r="A38" s="2" t="s">
        <v>9</v>
      </c>
      <c r="B38" s="2"/>
      <c r="C38" s="2"/>
      <c r="D38" s="2" t="str">
        <f t="shared" si="50"/>
        <v/>
      </c>
      <c r="E38" s="2"/>
      <c r="F38" s="2"/>
      <c r="G38" s="2"/>
      <c r="H38" s="2" t="str">
        <f t="shared" si="53"/>
        <v/>
      </c>
      <c r="I38" s="2"/>
      <c r="J38" s="2"/>
      <c r="K38" s="2"/>
      <c r="L38" s="2"/>
      <c r="M38" s="2" t="str">
        <f t="shared" si="56"/>
        <v/>
      </c>
      <c r="N38" s="2"/>
      <c r="O38" s="2"/>
      <c r="P38" s="2"/>
      <c r="Q38" s="2" t="str">
        <f t="shared" si="59"/>
        <v/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>
      <c r="A39" s="2" t="s">
        <v>14</v>
      </c>
      <c r="B39" s="14">
        <v>117.0</v>
      </c>
      <c r="C39" s="2">
        <f t="shared" ref="C39:C41" si="77">B39-9</f>
        <v>108</v>
      </c>
      <c r="D39" s="13">
        <f t="shared" si="50"/>
        <v>108</v>
      </c>
      <c r="E39" s="13">
        <f t="shared" ref="E39:E41" si="78">B39+1</f>
        <v>118</v>
      </c>
      <c r="F39" s="14">
        <v>0.0</v>
      </c>
      <c r="G39" s="2">
        <f t="shared" ref="G39:G41" si="79">F39+9</f>
        <v>9</v>
      </c>
      <c r="H39" s="13">
        <f t="shared" si="53"/>
        <v>0</v>
      </c>
      <c r="I39" s="13">
        <f t="shared" ref="I39:I41" si="80">G39+1</f>
        <v>10</v>
      </c>
      <c r="J39" s="2"/>
      <c r="K39" s="14">
        <v>117.0</v>
      </c>
      <c r="L39" s="2">
        <f t="shared" ref="L39:L41" si="81">K39-7</f>
        <v>110</v>
      </c>
      <c r="M39" s="13">
        <f t="shared" si="56"/>
        <v>110</v>
      </c>
      <c r="N39" s="13">
        <f t="shared" ref="N39:N41" si="82">K39+1</f>
        <v>118</v>
      </c>
      <c r="O39" s="14">
        <v>0.0</v>
      </c>
      <c r="P39" s="2">
        <f t="shared" ref="P39:P41" si="83">O39+7</f>
        <v>7</v>
      </c>
      <c r="Q39" s="13">
        <f t="shared" si="59"/>
        <v>0</v>
      </c>
      <c r="R39" s="13">
        <f t="shared" ref="R39:R41" si="84">P39+1</f>
        <v>8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>
      <c r="A40" s="2" t="s">
        <v>15</v>
      </c>
      <c r="B40" s="2">
        <f t="shared" ref="B40:B41" si="85">B39-3</f>
        <v>114</v>
      </c>
      <c r="C40" s="2">
        <f t="shared" si="77"/>
        <v>105</v>
      </c>
      <c r="D40" s="13">
        <f t="shared" si="50"/>
        <v>105</v>
      </c>
      <c r="E40" s="13">
        <f t="shared" si="78"/>
        <v>115</v>
      </c>
      <c r="F40" s="2">
        <f t="shared" ref="F40:F41" si="86">F39+3</f>
        <v>3</v>
      </c>
      <c r="G40" s="2">
        <f t="shared" si="79"/>
        <v>12</v>
      </c>
      <c r="H40" s="13">
        <f t="shared" si="53"/>
        <v>3</v>
      </c>
      <c r="I40" s="13">
        <f t="shared" si="80"/>
        <v>13</v>
      </c>
      <c r="J40" s="2"/>
      <c r="K40" s="2">
        <f t="shared" ref="K40:K41" si="87">K39+3</f>
        <v>120</v>
      </c>
      <c r="L40" s="2">
        <f t="shared" si="81"/>
        <v>113</v>
      </c>
      <c r="M40" s="13">
        <f t="shared" si="56"/>
        <v>113</v>
      </c>
      <c r="N40" s="13">
        <f t="shared" si="82"/>
        <v>121</v>
      </c>
      <c r="O40" s="2">
        <f t="shared" ref="O40:O41" si="88">O39+3</f>
        <v>3</v>
      </c>
      <c r="P40" s="2">
        <f t="shared" si="83"/>
        <v>10</v>
      </c>
      <c r="Q40" s="13">
        <f t="shared" si="59"/>
        <v>3</v>
      </c>
      <c r="R40" s="13">
        <f t="shared" si="84"/>
        <v>11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>
      <c r="A41" s="2" t="s">
        <v>17</v>
      </c>
      <c r="B41" s="2">
        <f t="shared" si="85"/>
        <v>111</v>
      </c>
      <c r="C41" s="2">
        <f t="shared" si="77"/>
        <v>102</v>
      </c>
      <c r="D41" s="13">
        <f t="shared" si="50"/>
        <v>102</v>
      </c>
      <c r="E41" s="13">
        <f t="shared" si="78"/>
        <v>112</v>
      </c>
      <c r="F41" s="2">
        <f t="shared" si="86"/>
        <v>6</v>
      </c>
      <c r="G41" s="2">
        <f t="shared" si="79"/>
        <v>15</v>
      </c>
      <c r="H41" s="13">
        <f t="shared" si="53"/>
        <v>6</v>
      </c>
      <c r="I41" s="13">
        <f t="shared" si="80"/>
        <v>16</v>
      </c>
      <c r="J41" s="2"/>
      <c r="K41" s="2">
        <f t="shared" si="87"/>
        <v>123</v>
      </c>
      <c r="L41" s="2">
        <f t="shared" si="81"/>
        <v>116</v>
      </c>
      <c r="M41" s="13">
        <f t="shared" si="56"/>
        <v>116</v>
      </c>
      <c r="N41" s="13">
        <f t="shared" si="82"/>
        <v>124</v>
      </c>
      <c r="O41" s="2">
        <f t="shared" si="88"/>
        <v>6</v>
      </c>
      <c r="P41" s="2">
        <f t="shared" si="83"/>
        <v>13</v>
      </c>
      <c r="Q41" s="13">
        <f t="shared" si="59"/>
        <v>6</v>
      </c>
      <c r="R41" s="13">
        <f t="shared" si="84"/>
        <v>14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" t="s">
        <v>18</v>
      </c>
    </row>
    <row r="44">
      <c r="A44" s="3" t="s">
        <v>14</v>
      </c>
      <c r="B44" s="14">
        <v>223.0</v>
      </c>
      <c r="C44" s="15">
        <f>B44-9</f>
        <v>214</v>
      </c>
      <c r="D44" s="13">
        <f t="shared" ref="D44:D46" si="89">C44</f>
        <v>214</v>
      </c>
      <c r="E44" s="13">
        <f t="shared" ref="E44:E46" si="90">B44+1</f>
        <v>224</v>
      </c>
      <c r="F44" s="14">
        <v>232.0</v>
      </c>
      <c r="G44" s="15">
        <f>F44+9</f>
        <v>241</v>
      </c>
      <c r="H44" s="13">
        <f t="shared" ref="H44:H46" si="91">F44</f>
        <v>232</v>
      </c>
      <c r="I44" s="13">
        <f>G44+1</f>
        <v>242</v>
      </c>
    </row>
    <row r="45">
      <c r="A45" s="3" t="s">
        <v>13</v>
      </c>
      <c r="B45" s="14">
        <v>231.0</v>
      </c>
      <c r="C45" s="15">
        <f>B45-7</f>
        <v>224</v>
      </c>
      <c r="D45" s="13">
        <f t="shared" si="89"/>
        <v>224</v>
      </c>
      <c r="E45" s="13">
        <f t="shared" si="90"/>
        <v>232</v>
      </c>
      <c r="F45" s="14">
        <v>173.0</v>
      </c>
      <c r="G45" s="15">
        <f>F45-7</f>
        <v>166</v>
      </c>
      <c r="H45" s="13">
        <f t="shared" si="91"/>
        <v>173</v>
      </c>
      <c r="I45" s="13">
        <f>H45+1</f>
        <v>174</v>
      </c>
    </row>
    <row r="46">
      <c r="A46" s="3" t="s">
        <v>15</v>
      </c>
      <c r="B46" s="14">
        <v>165.0</v>
      </c>
      <c r="C46" s="15">
        <f>B46-9</f>
        <v>156</v>
      </c>
      <c r="D46" s="13">
        <f t="shared" si="89"/>
        <v>156</v>
      </c>
      <c r="E46" s="13">
        <f t="shared" si="90"/>
        <v>166</v>
      </c>
      <c r="F46" s="14">
        <v>0.0</v>
      </c>
      <c r="G46" s="15">
        <f>F46+9</f>
        <v>9</v>
      </c>
      <c r="H46" s="13">
        <f t="shared" si="91"/>
        <v>0</v>
      </c>
      <c r="I46" s="13">
        <f>G46+1</f>
        <v>10</v>
      </c>
    </row>
    <row r="48">
      <c r="A48" s="3" t="s">
        <v>19</v>
      </c>
      <c r="B48" s="15">
        <f>126*2</f>
        <v>252</v>
      </c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mergeCells count="20">
    <mergeCell ref="B3:E3"/>
    <mergeCell ref="F3:I3"/>
    <mergeCell ref="B4:C4"/>
    <mergeCell ref="D4:E4"/>
    <mergeCell ref="F4:G4"/>
    <mergeCell ref="H4:I4"/>
    <mergeCell ref="K9:R9"/>
    <mergeCell ref="F11:G11"/>
    <mergeCell ref="H11:I11"/>
    <mergeCell ref="K11:L11"/>
    <mergeCell ref="M11:N11"/>
    <mergeCell ref="O11:P11"/>
    <mergeCell ref="Q11:R11"/>
    <mergeCell ref="B9:I9"/>
    <mergeCell ref="B10:E10"/>
    <mergeCell ref="F10:I10"/>
    <mergeCell ref="K10:N10"/>
    <mergeCell ref="O10:R10"/>
    <mergeCell ref="B11:C11"/>
    <mergeCell ref="D11:E11"/>
  </mergeCells>
  <printOptions/>
  <pageMargins bottom="0.787401575" footer="0.0" header="0.0" left="0.7" right="0.7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3.38"/>
    <col customWidth="1" min="3" max="3" width="5.13"/>
    <col customWidth="1" min="4" max="4" width="3.38"/>
    <col customWidth="1" min="5" max="5" width="6.0"/>
    <col customWidth="1" min="6" max="6" width="3.38"/>
    <col customWidth="1" min="7" max="7" width="5.63"/>
    <col customWidth="1" min="8" max="8" width="3.38"/>
    <col customWidth="1" min="9" max="9" width="7.0"/>
    <col customWidth="1" min="10" max="10" width="9.38"/>
    <col customWidth="1" min="11" max="11" width="5.88"/>
    <col customWidth="1" min="12" max="12" width="3.38"/>
    <col customWidth="1" min="13" max="13" width="6.63"/>
    <col customWidth="1" min="14" max="14" width="4.0"/>
    <col customWidth="1" min="15" max="15" width="5.88"/>
    <col customWidth="1" min="16" max="16" width="4.0"/>
    <col customWidth="1" min="17" max="17" width="5.63"/>
    <col customWidth="1" min="18" max="18" width="4.0"/>
    <col customWidth="1" min="19" max="19" width="17.75"/>
    <col customWidth="1" min="20" max="20" width="3.88"/>
    <col customWidth="1" min="21" max="21" width="4.0"/>
    <col customWidth="1" min="22" max="22" width="3.88"/>
    <col customWidth="1" min="23" max="23" width="4.0"/>
    <col customWidth="1" min="24" max="27" width="3.0"/>
    <col customWidth="1" min="28" max="29" width="9.38"/>
  </cols>
  <sheetData>
    <row r="1" ht="14.25" customHeight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4.25" customHeight="1">
      <c r="A2" s="3" t="s">
        <v>1</v>
      </c>
      <c r="B2" s="3">
        <v>174.0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4" t="s">
        <v>2</v>
      </c>
      <c r="F3" s="5" t="s">
        <v>3</v>
      </c>
    </row>
    <row r="4" ht="14.25" customHeight="1">
      <c r="A4" s="1" t="s">
        <v>4</v>
      </c>
      <c r="B4" s="4" t="s">
        <v>5</v>
      </c>
      <c r="D4" s="4" t="s">
        <v>6</v>
      </c>
      <c r="F4" s="4" t="s">
        <v>5</v>
      </c>
      <c r="H4" s="4" t="s">
        <v>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4.25" customHeight="1">
      <c r="A5" s="3" t="s">
        <v>7</v>
      </c>
      <c r="B5" s="3">
        <f t="shared" ref="B5:B7" si="1">C5+9</f>
        <v>36</v>
      </c>
      <c r="C5" s="14">
        <v>27.0</v>
      </c>
      <c r="D5" s="7">
        <f t="shared" ref="D5:D7" si="2">C5</f>
        <v>27</v>
      </c>
      <c r="E5" s="7">
        <f t="shared" ref="E5:E7" si="3">B5+1</f>
        <v>37</v>
      </c>
      <c r="F5" s="3">
        <f t="shared" ref="F5:F7" si="4">G5-9</f>
        <v>71</v>
      </c>
      <c r="G5" s="14">
        <v>80.0</v>
      </c>
      <c r="H5" s="8">
        <f t="shared" ref="H5:H7" si="5">F5</f>
        <v>71</v>
      </c>
      <c r="I5" s="8">
        <f t="shared" ref="I5:I7" si="6">G5+1</f>
        <v>81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4.25" customHeight="1">
      <c r="A6" s="3" t="s">
        <v>8</v>
      </c>
      <c r="B6" s="3">
        <f t="shared" si="1"/>
        <v>94</v>
      </c>
      <c r="C6" s="14">
        <v>85.0</v>
      </c>
      <c r="D6" s="7">
        <f t="shared" si="2"/>
        <v>85</v>
      </c>
      <c r="E6" s="7">
        <f t="shared" si="3"/>
        <v>95</v>
      </c>
      <c r="F6" s="3">
        <f t="shared" si="4"/>
        <v>129</v>
      </c>
      <c r="G6" s="14">
        <v>138.0</v>
      </c>
      <c r="H6" s="8">
        <f t="shared" si="5"/>
        <v>129</v>
      </c>
      <c r="I6" s="8">
        <f t="shared" si="6"/>
        <v>139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4.25" customHeight="1">
      <c r="A7" s="3" t="s">
        <v>9</v>
      </c>
      <c r="B7" s="3">
        <f t="shared" si="1"/>
        <v>152</v>
      </c>
      <c r="C7" s="14">
        <v>143.0</v>
      </c>
      <c r="D7" s="7">
        <f t="shared" si="2"/>
        <v>143</v>
      </c>
      <c r="E7" s="7">
        <f t="shared" si="3"/>
        <v>153</v>
      </c>
      <c r="F7" s="3">
        <f t="shared" si="4"/>
        <v>13</v>
      </c>
      <c r="G7" s="14">
        <v>22.0</v>
      </c>
      <c r="H7" s="8">
        <f t="shared" si="5"/>
        <v>13</v>
      </c>
      <c r="I7" s="8">
        <f t="shared" si="6"/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25" customHeight="1">
      <c r="A8" s="9"/>
      <c r="B8" s="5"/>
      <c r="C8" s="5"/>
      <c r="D8" s="5"/>
      <c r="E8" s="5"/>
      <c r="F8" s="5"/>
      <c r="G8" s="5"/>
      <c r="H8" s="5"/>
      <c r="I8" s="5"/>
      <c r="J8" s="2"/>
      <c r="K8" s="3"/>
      <c r="L8" s="3"/>
      <c r="M8" s="3"/>
      <c r="N8" s="3"/>
      <c r="O8" s="3"/>
      <c r="P8" s="3"/>
      <c r="Q8" s="3"/>
      <c r="R8" s="3"/>
      <c r="S8" s="3"/>
      <c r="T8" s="2"/>
      <c r="U8" s="2"/>
      <c r="V8" s="2"/>
      <c r="W8" s="2"/>
      <c r="X8" s="2"/>
      <c r="Y8" s="2"/>
      <c r="Z8" s="2"/>
      <c r="AA8" s="2"/>
      <c r="AB8" s="2"/>
      <c r="AC8" s="2"/>
    </row>
    <row r="9" ht="14.25" customHeight="1">
      <c r="A9" s="9"/>
      <c r="B9" s="5"/>
      <c r="C9" s="5"/>
      <c r="D9" s="5"/>
      <c r="E9" s="5"/>
      <c r="F9" s="5"/>
      <c r="G9" s="5"/>
      <c r="H9" s="5"/>
      <c r="I9" s="5"/>
      <c r="K9" s="10" t="s">
        <v>11</v>
      </c>
      <c r="S9" s="3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25" customHeight="1">
      <c r="A10" s="11" t="s">
        <v>12</v>
      </c>
      <c r="B10" s="4" t="s">
        <v>2</v>
      </c>
      <c r="F10" s="5" t="s">
        <v>3</v>
      </c>
      <c r="J10" s="2"/>
      <c r="K10" s="12" t="s">
        <v>2</v>
      </c>
      <c r="O10" s="5" t="s">
        <v>3</v>
      </c>
      <c r="AB10" s="2"/>
      <c r="AC10" s="2"/>
    </row>
    <row r="11" ht="14.25" customHeight="1">
      <c r="A11" s="2" t="s">
        <v>7</v>
      </c>
      <c r="B11" s="4" t="s">
        <v>5</v>
      </c>
      <c r="D11" s="4" t="s">
        <v>6</v>
      </c>
      <c r="F11" s="4" t="s">
        <v>5</v>
      </c>
      <c r="H11" s="4" t="s">
        <v>6</v>
      </c>
      <c r="J11" s="2"/>
      <c r="K11" s="2" t="s">
        <v>5</v>
      </c>
      <c r="M11" s="2" t="s">
        <v>6</v>
      </c>
      <c r="O11" s="2" t="s">
        <v>5</v>
      </c>
      <c r="Q11" s="2" t="s">
        <v>6</v>
      </c>
      <c r="AB11" s="2"/>
      <c r="AC11" s="2"/>
    </row>
    <row r="12" ht="14.25" customHeight="1">
      <c r="A12" s="2" t="s">
        <v>13</v>
      </c>
      <c r="B12" s="14">
        <v>57.0</v>
      </c>
      <c r="C12" s="2">
        <f t="shared" ref="C12:C14" si="7">B12-11</f>
        <v>46</v>
      </c>
      <c r="D12" s="13">
        <f t="shared" ref="D12:D14" si="8">C12</f>
        <v>46</v>
      </c>
      <c r="E12" s="13">
        <f t="shared" ref="E12:E14" si="9">B12+1</f>
        <v>58</v>
      </c>
      <c r="F12" s="2"/>
      <c r="G12" s="2"/>
      <c r="H12" s="2"/>
      <c r="I12" s="2"/>
      <c r="J12" s="2"/>
      <c r="K12" s="14">
        <v>57.0</v>
      </c>
      <c r="L12" s="2">
        <f>K12-7</f>
        <v>50</v>
      </c>
      <c r="M12" s="13">
        <f t="shared" ref="M12:M14" si="10">L12</f>
        <v>50</v>
      </c>
      <c r="N12" s="13">
        <f t="shared" ref="N12:N14" si="11">K12+1</f>
        <v>58</v>
      </c>
      <c r="O12" s="2"/>
      <c r="P12" s="2"/>
      <c r="Q12" s="2"/>
      <c r="R12" s="2"/>
      <c r="AB12" s="2"/>
      <c r="AC12" s="2"/>
    </row>
    <row r="13" ht="14.25" customHeight="1">
      <c r="A13" s="2" t="s">
        <v>14</v>
      </c>
      <c r="B13" s="2">
        <f t="shared" ref="B13:B14" si="12">C12-1</f>
        <v>45</v>
      </c>
      <c r="C13" s="2">
        <f t="shared" si="7"/>
        <v>34</v>
      </c>
      <c r="D13" s="13">
        <f t="shared" si="8"/>
        <v>34</v>
      </c>
      <c r="E13" s="13">
        <f t="shared" si="9"/>
        <v>46</v>
      </c>
      <c r="F13" s="14">
        <v>58.0</v>
      </c>
      <c r="G13" s="2">
        <f t="shared" ref="G13:G14" si="13">F13+11</f>
        <v>69</v>
      </c>
      <c r="H13" s="13">
        <f t="shared" ref="H13:H14" si="14">F13</f>
        <v>58</v>
      </c>
      <c r="I13" s="13">
        <f t="shared" ref="I13:I14" si="15">G13+1</f>
        <v>70</v>
      </c>
      <c r="J13" s="2"/>
      <c r="K13" s="2">
        <f t="shared" ref="K13:K14" si="16">L12-1</f>
        <v>49</v>
      </c>
      <c r="L13" s="2">
        <f t="shared" ref="L13:L14" si="17">K13-4</f>
        <v>45</v>
      </c>
      <c r="M13" s="13">
        <f t="shared" si="10"/>
        <v>45</v>
      </c>
      <c r="N13" s="13">
        <f t="shared" si="11"/>
        <v>50</v>
      </c>
      <c r="O13" s="14">
        <v>58.0</v>
      </c>
      <c r="P13" s="2">
        <f t="shared" ref="P13:P14" si="18">O13+4</f>
        <v>62</v>
      </c>
      <c r="Q13" s="13">
        <f t="shared" ref="Q13:Q14" si="19">O13</f>
        <v>58</v>
      </c>
      <c r="R13" s="13">
        <f t="shared" ref="R13:R14" si="20">P13+1</f>
        <v>63</v>
      </c>
      <c r="AB13" s="2"/>
      <c r="AC13" s="2"/>
    </row>
    <row r="14" ht="14.25" customHeight="1">
      <c r="A14" s="3" t="s">
        <v>15</v>
      </c>
      <c r="B14" s="2">
        <f t="shared" si="12"/>
        <v>33</v>
      </c>
      <c r="C14" s="2">
        <f t="shared" si="7"/>
        <v>22</v>
      </c>
      <c r="D14" s="13">
        <f t="shared" si="8"/>
        <v>22</v>
      </c>
      <c r="E14" s="13">
        <f t="shared" si="9"/>
        <v>34</v>
      </c>
      <c r="F14" s="2">
        <f>G13+1</f>
        <v>70</v>
      </c>
      <c r="G14" s="2">
        <f t="shared" si="13"/>
        <v>81</v>
      </c>
      <c r="H14" s="13">
        <f t="shared" si="14"/>
        <v>70</v>
      </c>
      <c r="I14" s="13">
        <f t="shared" si="15"/>
        <v>82</v>
      </c>
      <c r="J14" s="2"/>
      <c r="K14" s="2">
        <f t="shared" si="16"/>
        <v>44</v>
      </c>
      <c r="L14" s="2">
        <f t="shared" si="17"/>
        <v>40</v>
      </c>
      <c r="M14" s="13">
        <f t="shared" si="10"/>
        <v>40</v>
      </c>
      <c r="N14" s="13">
        <f t="shared" si="11"/>
        <v>45</v>
      </c>
      <c r="O14" s="2">
        <f>P13+1</f>
        <v>63</v>
      </c>
      <c r="P14" s="2">
        <f t="shared" si="18"/>
        <v>67</v>
      </c>
      <c r="Q14" s="13">
        <f t="shared" si="19"/>
        <v>63</v>
      </c>
      <c r="R14" s="13">
        <f t="shared" si="20"/>
        <v>68</v>
      </c>
      <c r="AB14" s="2"/>
      <c r="AC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AB15" s="2"/>
      <c r="AC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AB16" s="2"/>
      <c r="AC16" s="2"/>
    </row>
    <row r="17" ht="14.25" customHeight="1">
      <c r="A17" s="2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25" customHeight="1">
      <c r="A18" s="2" t="s">
        <v>13</v>
      </c>
      <c r="B18" s="14">
        <v>115.0</v>
      </c>
      <c r="C18" s="2">
        <f t="shared" ref="C18:C20" si="21">B18-11</f>
        <v>104</v>
      </c>
      <c r="D18" s="13">
        <f t="shared" ref="D18:D20" si="22">C18</f>
        <v>104</v>
      </c>
      <c r="E18" s="13">
        <f t="shared" ref="E18:E20" si="23">B18+1</f>
        <v>116</v>
      </c>
      <c r="F18" s="2"/>
      <c r="G18" s="2"/>
      <c r="H18" s="2"/>
      <c r="I18" s="2"/>
      <c r="J18" s="2"/>
      <c r="K18" s="14">
        <v>115.0</v>
      </c>
      <c r="L18" s="2">
        <f>K18-7</f>
        <v>108</v>
      </c>
      <c r="M18" s="13">
        <f t="shared" ref="M18:M20" si="24">L18</f>
        <v>108</v>
      </c>
      <c r="N18" s="13">
        <f t="shared" ref="N18:N20" si="25">K18+1</f>
        <v>116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4.25" customHeight="1">
      <c r="A19" s="2" t="s">
        <v>14</v>
      </c>
      <c r="B19" s="2">
        <f t="shared" ref="B19:B20" si="26">C18-1</f>
        <v>103</v>
      </c>
      <c r="C19" s="2">
        <f t="shared" si="21"/>
        <v>92</v>
      </c>
      <c r="D19" s="13">
        <f t="shared" si="22"/>
        <v>92</v>
      </c>
      <c r="E19" s="13">
        <f t="shared" si="23"/>
        <v>104</v>
      </c>
      <c r="F19" s="14">
        <v>116.0</v>
      </c>
      <c r="G19" s="2">
        <f t="shared" ref="G19:G20" si="27">F19+11</f>
        <v>127</v>
      </c>
      <c r="H19" s="13">
        <f t="shared" ref="H19:H20" si="28">F19</f>
        <v>116</v>
      </c>
      <c r="I19" s="13">
        <f t="shared" ref="I19:I20" si="29">G19+1</f>
        <v>128</v>
      </c>
      <c r="J19" s="2"/>
      <c r="K19" s="2">
        <f t="shared" ref="K19:K20" si="30">L18-1</f>
        <v>107</v>
      </c>
      <c r="L19" s="2">
        <f t="shared" ref="L19:L20" si="31">K19-4</f>
        <v>103</v>
      </c>
      <c r="M19" s="13">
        <f t="shared" si="24"/>
        <v>103</v>
      </c>
      <c r="N19" s="13">
        <f t="shared" si="25"/>
        <v>108</v>
      </c>
      <c r="O19" s="14">
        <v>116.0</v>
      </c>
      <c r="P19" s="2">
        <f t="shared" ref="P19:P20" si="32">O19+4</f>
        <v>120</v>
      </c>
      <c r="Q19" s="13">
        <f t="shared" ref="Q19:Q20" si="33">O19</f>
        <v>116</v>
      </c>
      <c r="R19" s="13">
        <f t="shared" ref="R19:R20" si="34">P19+1</f>
        <v>121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25" customHeight="1">
      <c r="A20" s="2" t="s">
        <v>15</v>
      </c>
      <c r="B20" s="2">
        <f t="shared" si="26"/>
        <v>91</v>
      </c>
      <c r="C20" s="2">
        <f t="shared" si="21"/>
        <v>80</v>
      </c>
      <c r="D20" s="13">
        <f t="shared" si="22"/>
        <v>80</v>
      </c>
      <c r="E20" s="13">
        <f t="shared" si="23"/>
        <v>92</v>
      </c>
      <c r="F20" s="2">
        <f>G19+1</f>
        <v>128</v>
      </c>
      <c r="G20" s="2">
        <f t="shared" si="27"/>
        <v>139</v>
      </c>
      <c r="H20" s="13">
        <f t="shared" si="28"/>
        <v>128</v>
      </c>
      <c r="I20" s="13">
        <f t="shared" si="29"/>
        <v>140</v>
      </c>
      <c r="J20" s="2"/>
      <c r="K20" s="2">
        <f t="shared" si="30"/>
        <v>102</v>
      </c>
      <c r="L20" s="2">
        <f t="shared" si="31"/>
        <v>98</v>
      </c>
      <c r="M20" s="13">
        <f t="shared" si="24"/>
        <v>98</v>
      </c>
      <c r="N20" s="13">
        <f t="shared" si="25"/>
        <v>103</v>
      </c>
      <c r="O20" s="2">
        <f>P19+1</f>
        <v>121</v>
      </c>
      <c r="P20" s="2">
        <f t="shared" si="32"/>
        <v>125</v>
      </c>
      <c r="Q20" s="13">
        <f t="shared" si="33"/>
        <v>121</v>
      </c>
      <c r="R20" s="13">
        <f t="shared" si="34"/>
        <v>126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.25" customHeight="1">
      <c r="A22" s="2" t="s">
        <v>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4.25" customHeight="1">
      <c r="A23" s="2" t="s">
        <v>13</v>
      </c>
      <c r="B23" s="14">
        <v>173.0</v>
      </c>
      <c r="C23" s="2">
        <f t="shared" ref="C23:C25" si="35">B23-11</f>
        <v>162</v>
      </c>
      <c r="D23" s="13">
        <f t="shared" ref="D23:D25" si="36">C23</f>
        <v>162</v>
      </c>
      <c r="E23" s="13">
        <f t="shared" ref="E23:E25" si="37">B23+1</f>
        <v>174</v>
      </c>
      <c r="F23" s="2"/>
      <c r="G23" s="2"/>
      <c r="H23" s="2"/>
      <c r="I23" s="2"/>
      <c r="J23" s="2"/>
      <c r="K23" s="14">
        <v>173.0</v>
      </c>
      <c r="L23" s="2">
        <f>K23-7</f>
        <v>166</v>
      </c>
      <c r="M23" s="13">
        <f t="shared" ref="M23:M25" si="38">L23</f>
        <v>166</v>
      </c>
      <c r="N23" s="13">
        <f t="shared" ref="N23:N25" si="39">K23+1</f>
        <v>174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4.25" customHeight="1">
      <c r="A24" s="2" t="s">
        <v>14</v>
      </c>
      <c r="B24" s="2">
        <f t="shared" ref="B24:B25" si="40">C23-1</f>
        <v>161</v>
      </c>
      <c r="C24" s="2">
        <f t="shared" si="35"/>
        <v>150</v>
      </c>
      <c r="D24" s="13">
        <f t="shared" si="36"/>
        <v>150</v>
      </c>
      <c r="E24" s="13">
        <f t="shared" si="37"/>
        <v>162</v>
      </c>
      <c r="F24" s="14">
        <v>0.0</v>
      </c>
      <c r="G24" s="2">
        <f t="shared" ref="G24:G25" si="41">F24+11</f>
        <v>11</v>
      </c>
      <c r="H24" s="13">
        <f t="shared" ref="H24:H25" si="42">F24</f>
        <v>0</v>
      </c>
      <c r="I24" s="13">
        <f t="shared" ref="I24:I25" si="43">G24+1</f>
        <v>12</v>
      </c>
      <c r="J24" s="2"/>
      <c r="K24" s="2">
        <f t="shared" ref="K24:K25" si="44">L23-1</f>
        <v>165</v>
      </c>
      <c r="L24" s="2">
        <f t="shared" ref="L24:L25" si="45">K24-4</f>
        <v>161</v>
      </c>
      <c r="M24" s="13">
        <f t="shared" si="38"/>
        <v>161</v>
      </c>
      <c r="N24" s="13">
        <f t="shared" si="39"/>
        <v>166</v>
      </c>
      <c r="O24" s="14">
        <v>0.0</v>
      </c>
      <c r="P24" s="2">
        <f t="shared" ref="P24:P25" si="46">O24+4</f>
        <v>4</v>
      </c>
      <c r="Q24" s="13">
        <f t="shared" ref="Q24:Q25" si="47">O24</f>
        <v>0</v>
      </c>
      <c r="R24" s="13">
        <f t="shared" ref="R24:R25" si="48">P24+1</f>
        <v>5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>
      <c r="A25" s="2" t="s">
        <v>15</v>
      </c>
      <c r="B25" s="2">
        <f t="shared" si="40"/>
        <v>149</v>
      </c>
      <c r="C25" s="2">
        <f t="shared" si="35"/>
        <v>138</v>
      </c>
      <c r="D25" s="13">
        <f t="shared" si="36"/>
        <v>138</v>
      </c>
      <c r="E25" s="13">
        <f t="shared" si="37"/>
        <v>150</v>
      </c>
      <c r="F25" s="2">
        <f>G24+1</f>
        <v>12</v>
      </c>
      <c r="G25" s="2">
        <f t="shared" si="41"/>
        <v>23</v>
      </c>
      <c r="H25" s="13">
        <f t="shared" si="42"/>
        <v>12</v>
      </c>
      <c r="I25" s="13">
        <f t="shared" si="43"/>
        <v>24</v>
      </c>
      <c r="J25" s="2"/>
      <c r="K25" s="2">
        <f t="shared" si="44"/>
        <v>160</v>
      </c>
      <c r="L25" s="2">
        <f t="shared" si="45"/>
        <v>156</v>
      </c>
      <c r="M25" s="13">
        <f t="shared" si="38"/>
        <v>156</v>
      </c>
      <c r="N25" s="13">
        <f t="shared" si="39"/>
        <v>161</v>
      </c>
      <c r="O25" s="2">
        <f>P24+1</f>
        <v>5</v>
      </c>
      <c r="P25" s="2">
        <f t="shared" si="46"/>
        <v>9</v>
      </c>
      <c r="Q25" s="13">
        <f t="shared" si="47"/>
        <v>5</v>
      </c>
      <c r="R25" s="13">
        <f t="shared" si="48"/>
        <v>10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>
      <c r="A28" s="9" t="s">
        <v>16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>
      <c r="A29" s="2" t="s">
        <v>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>
      <c r="A30" s="2" t="s">
        <v>14</v>
      </c>
      <c r="B30" s="14">
        <v>49.0</v>
      </c>
      <c r="C30" s="2">
        <f t="shared" ref="C30:C32" si="49">B30-11</f>
        <v>38</v>
      </c>
      <c r="D30" s="13">
        <f t="shared" ref="D30:D42" si="50">C30</f>
        <v>38</v>
      </c>
      <c r="E30" s="13">
        <f t="shared" ref="E30:E32" si="51">B30+1</f>
        <v>50</v>
      </c>
      <c r="F30" s="14">
        <v>58.0</v>
      </c>
      <c r="G30" s="2">
        <f t="shared" ref="G30:G32" si="52">F30+11</f>
        <v>69</v>
      </c>
      <c r="H30" s="13">
        <f t="shared" ref="H30:H42" si="53">F30</f>
        <v>58</v>
      </c>
      <c r="I30" s="13">
        <f t="shared" ref="I30:I32" si="54">G30+1</f>
        <v>70</v>
      </c>
      <c r="J30" s="2"/>
      <c r="K30" s="14">
        <v>49.0</v>
      </c>
      <c r="L30" s="2">
        <f t="shared" ref="L30:L32" si="55">K30-7</f>
        <v>42</v>
      </c>
      <c r="M30" s="13">
        <f t="shared" ref="M30:M42" si="56">L30</f>
        <v>42</v>
      </c>
      <c r="N30" s="13">
        <f t="shared" ref="N30:N32" si="57">K30+1</f>
        <v>50</v>
      </c>
      <c r="O30" s="14">
        <v>58.0</v>
      </c>
      <c r="P30" s="2">
        <f t="shared" ref="P30:P32" si="58">O30+7</f>
        <v>65</v>
      </c>
      <c r="Q30" s="13">
        <f t="shared" ref="Q30:Q42" si="59">O30</f>
        <v>58</v>
      </c>
      <c r="R30" s="13">
        <f t="shared" ref="R30:R32" si="60">P30+1</f>
        <v>66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>
      <c r="A31" s="2" t="s">
        <v>15</v>
      </c>
      <c r="B31" s="3">
        <f t="shared" ref="B31:B32" si="61">B30-3</f>
        <v>46</v>
      </c>
      <c r="C31" s="2">
        <f t="shared" si="49"/>
        <v>35</v>
      </c>
      <c r="D31" s="13">
        <f t="shared" si="50"/>
        <v>35</v>
      </c>
      <c r="E31" s="13">
        <f t="shared" si="51"/>
        <v>47</v>
      </c>
      <c r="F31" s="2">
        <f t="shared" ref="F31:F32" si="62">F30+3</f>
        <v>61</v>
      </c>
      <c r="G31" s="2">
        <f t="shared" si="52"/>
        <v>72</v>
      </c>
      <c r="H31" s="13">
        <f t="shared" si="53"/>
        <v>61</v>
      </c>
      <c r="I31" s="13">
        <f t="shared" si="54"/>
        <v>73</v>
      </c>
      <c r="J31" s="2"/>
      <c r="K31" s="2">
        <f t="shared" ref="K31:K32" si="63">K30+3</f>
        <v>52</v>
      </c>
      <c r="L31" s="2">
        <f t="shared" si="55"/>
        <v>45</v>
      </c>
      <c r="M31" s="13">
        <f t="shared" si="56"/>
        <v>45</v>
      </c>
      <c r="N31" s="13">
        <f t="shared" si="57"/>
        <v>53</v>
      </c>
      <c r="O31" s="2">
        <f t="shared" ref="O31:O32" si="64">O30+3</f>
        <v>61</v>
      </c>
      <c r="P31" s="2">
        <f t="shared" si="58"/>
        <v>68</v>
      </c>
      <c r="Q31" s="13">
        <f t="shared" si="59"/>
        <v>61</v>
      </c>
      <c r="R31" s="13">
        <f t="shared" si="60"/>
        <v>69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3.5" customHeight="1">
      <c r="A32" s="2" t="s">
        <v>17</v>
      </c>
      <c r="B32" s="2">
        <f t="shared" si="61"/>
        <v>43</v>
      </c>
      <c r="C32" s="2">
        <f t="shared" si="49"/>
        <v>32</v>
      </c>
      <c r="D32" s="13">
        <f t="shared" si="50"/>
        <v>32</v>
      </c>
      <c r="E32" s="13">
        <f t="shared" si="51"/>
        <v>44</v>
      </c>
      <c r="F32" s="2">
        <f t="shared" si="62"/>
        <v>64</v>
      </c>
      <c r="G32" s="2">
        <f t="shared" si="52"/>
        <v>75</v>
      </c>
      <c r="H32" s="13">
        <f t="shared" si="53"/>
        <v>64</v>
      </c>
      <c r="I32" s="13">
        <f t="shared" si="54"/>
        <v>76</v>
      </c>
      <c r="J32" s="2"/>
      <c r="K32" s="2">
        <f t="shared" si="63"/>
        <v>55</v>
      </c>
      <c r="L32" s="2">
        <f t="shared" si="55"/>
        <v>48</v>
      </c>
      <c r="M32" s="13">
        <f t="shared" si="56"/>
        <v>48</v>
      </c>
      <c r="N32" s="13">
        <f t="shared" si="57"/>
        <v>56</v>
      </c>
      <c r="O32" s="2">
        <f t="shared" si="64"/>
        <v>64</v>
      </c>
      <c r="P32" s="2">
        <f t="shared" si="58"/>
        <v>71</v>
      </c>
      <c r="Q32" s="13">
        <f t="shared" si="59"/>
        <v>64</v>
      </c>
      <c r="R32" s="13">
        <f t="shared" si="60"/>
        <v>72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>
      <c r="A33" s="2"/>
      <c r="B33" s="2"/>
      <c r="C33" s="2"/>
      <c r="D33" s="2" t="str">
        <f t="shared" si="50"/>
        <v/>
      </c>
      <c r="E33" s="2"/>
      <c r="F33" s="2"/>
      <c r="G33" s="2"/>
      <c r="H33" s="2" t="str">
        <f t="shared" si="53"/>
        <v/>
      </c>
      <c r="I33" s="2"/>
      <c r="J33" s="2"/>
      <c r="K33" s="2"/>
      <c r="L33" s="2"/>
      <c r="M33" s="2" t="str">
        <f t="shared" si="56"/>
        <v/>
      </c>
      <c r="N33" s="2"/>
      <c r="O33" s="2"/>
      <c r="P33" s="2"/>
      <c r="Q33" s="2" t="str">
        <f t="shared" si="59"/>
        <v/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>
      <c r="A34" s="2" t="s">
        <v>8</v>
      </c>
      <c r="B34" s="2"/>
      <c r="C34" s="2"/>
      <c r="D34" s="2" t="str">
        <f t="shared" si="50"/>
        <v/>
      </c>
      <c r="E34" s="2"/>
      <c r="F34" s="2"/>
      <c r="G34" s="2"/>
      <c r="H34" s="2" t="str">
        <f t="shared" si="53"/>
        <v/>
      </c>
      <c r="I34" s="2"/>
      <c r="J34" s="2"/>
      <c r="K34" s="2"/>
      <c r="L34" s="2"/>
      <c r="M34" s="2" t="str">
        <f t="shared" si="56"/>
        <v/>
      </c>
      <c r="N34" s="2"/>
      <c r="O34" s="2"/>
      <c r="P34" s="2"/>
      <c r="Q34" s="2" t="str">
        <f t="shared" si="59"/>
        <v/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>
      <c r="A35" s="2" t="s">
        <v>14</v>
      </c>
      <c r="B35" s="14">
        <v>107.0</v>
      </c>
      <c r="C35" s="2">
        <f t="shared" ref="C35:C37" si="65">B35-11</f>
        <v>96</v>
      </c>
      <c r="D35" s="13">
        <f t="shared" si="50"/>
        <v>96</v>
      </c>
      <c r="E35" s="13">
        <f t="shared" ref="E35:E37" si="66">B35+1</f>
        <v>108</v>
      </c>
      <c r="F35" s="14">
        <v>116.0</v>
      </c>
      <c r="G35" s="2">
        <f t="shared" ref="G35:G37" si="67">F35+11</f>
        <v>127</v>
      </c>
      <c r="H35" s="13">
        <f t="shared" si="53"/>
        <v>116</v>
      </c>
      <c r="I35" s="13">
        <f t="shared" ref="I35:I37" si="68">G35+1</f>
        <v>128</v>
      </c>
      <c r="J35" s="2"/>
      <c r="K35" s="14">
        <v>107.0</v>
      </c>
      <c r="L35" s="2">
        <f t="shared" ref="L35:L37" si="69">K35-7</f>
        <v>100</v>
      </c>
      <c r="M35" s="13">
        <f t="shared" si="56"/>
        <v>100</v>
      </c>
      <c r="N35" s="13">
        <f t="shared" ref="N35:N37" si="70">K35+1</f>
        <v>108</v>
      </c>
      <c r="O35" s="14">
        <v>116.0</v>
      </c>
      <c r="P35" s="2">
        <f t="shared" ref="P35:P37" si="71">O35+7</f>
        <v>123</v>
      </c>
      <c r="Q35" s="13">
        <f t="shared" si="59"/>
        <v>116</v>
      </c>
      <c r="R35" s="13">
        <f t="shared" ref="R35:R37" si="72">P35+1</f>
        <v>124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>
      <c r="A36" s="2" t="s">
        <v>15</v>
      </c>
      <c r="B36" s="2">
        <f t="shared" ref="B36:B37" si="73">B35-3</f>
        <v>104</v>
      </c>
      <c r="C36" s="2">
        <f t="shared" si="65"/>
        <v>93</v>
      </c>
      <c r="D36" s="13">
        <f t="shared" si="50"/>
        <v>93</v>
      </c>
      <c r="E36" s="13">
        <f t="shared" si="66"/>
        <v>105</v>
      </c>
      <c r="F36" s="2">
        <f t="shared" ref="F36:F37" si="74">F35+3</f>
        <v>119</v>
      </c>
      <c r="G36" s="2">
        <f t="shared" si="67"/>
        <v>130</v>
      </c>
      <c r="H36" s="13">
        <f t="shared" si="53"/>
        <v>119</v>
      </c>
      <c r="I36" s="13">
        <f t="shared" si="68"/>
        <v>131</v>
      </c>
      <c r="J36" s="2"/>
      <c r="K36" s="2">
        <f t="shared" ref="K36:K37" si="75">K35+3</f>
        <v>110</v>
      </c>
      <c r="L36" s="2">
        <f t="shared" si="69"/>
        <v>103</v>
      </c>
      <c r="M36" s="13">
        <f t="shared" si="56"/>
        <v>103</v>
      </c>
      <c r="N36" s="13">
        <f t="shared" si="70"/>
        <v>111</v>
      </c>
      <c r="O36" s="2">
        <f t="shared" ref="O36:O37" si="76">O35+3</f>
        <v>119</v>
      </c>
      <c r="P36" s="2">
        <f t="shared" si="71"/>
        <v>126</v>
      </c>
      <c r="Q36" s="13">
        <f t="shared" si="59"/>
        <v>119</v>
      </c>
      <c r="R36" s="13">
        <f t="shared" si="72"/>
        <v>127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>
      <c r="A37" s="2" t="s">
        <v>17</v>
      </c>
      <c r="B37" s="2">
        <f t="shared" si="73"/>
        <v>101</v>
      </c>
      <c r="C37" s="2">
        <f t="shared" si="65"/>
        <v>90</v>
      </c>
      <c r="D37" s="13">
        <f t="shared" si="50"/>
        <v>90</v>
      </c>
      <c r="E37" s="13">
        <f t="shared" si="66"/>
        <v>102</v>
      </c>
      <c r="F37" s="2">
        <f t="shared" si="74"/>
        <v>122</v>
      </c>
      <c r="G37" s="2">
        <f t="shared" si="67"/>
        <v>133</v>
      </c>
      <c r="H37" s="13">
        <f t="shared" si="53"/>
        <v>122</v>
      </c>
      <c r="I37" s="13">
        <f t="shared" si="68"/>
        <v>134</v>
      </c>
      <c r="J37" s="2"/>
      <c r="K37" s="2">
        <f t="shared" si="75"/>
        <v>113</v>
      </c>
      <c r="L37" s="2">
        <f t="shared" si="69"/>
        <v>106</v>
      </c>
      <c r="M37" s="13">
        <f t="shared" si="56"/>
        <v>106</v>
      </c>
      <c r="N37" s="13">
        <f t="shared" si="70"/>
        <v>114</v>
      </c>
      <c r="O37" s="2">
        <f t="shared" si="76"/>
        <v>122</v>
      </c>
      <c r="P37" s="2">
        <f t="shared" si="71"/>
        <v>129</v>
      </c>
      <c r="Q37" s="13">
        <f t="shared" si="59"/>
        <v>122</v>
      </c>
      <c r="R37" s="13">
        <f t="shared" si="72"/>
        <v>130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>
      <c r="A38" s="2"/>
      <c r="B38" s="2"/>
      <c r="C38" s="2"/>
      <c r="D38" s="2" t="str">
        <f t="shared" si="50"/>
        <v/>
      </c>
      <c r="E38" s="2"/>
      <c r="F38" s="2"/>
      <c r="G38" s="2"/>
      <c r="H38" s="2" t="str">
        <f t="shared" si="53"/>
        <v/>
      </c>
      <c r="I38" s="2"/>
      <c r="J38" s="2"/>
      <c r="K38" s="2"/>
      <c r="L38" s="2"/>
      <c r="M38" s="2" t="str">
        <f t="shared" si="56"/>
        <v/>
      </c>
      <c r="N38" s="2"/>
      <c r="O38" s="2"/>
      <c r="P38" s="2"/>
      <c r="Q38" s="2" t="str">
        <f t="shared" si="59"/>
        <v/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>
      <c r="A39" s="2" t="s">
        <v>9</v>
      </c>
      <c r="B39" s="2"/>
      <c r="C39" s="2"/>
      <c r="D39" s="2" t="str">
        <f t="shared" si="50"/>
        <v/>
      </c>
      <c r="E39" s="2"/>
      <c r="F39" s="2"/>
      <c r="G39" s="2"/>
      <c r="H39" s="2" t="str">
        <f t="shared" si="53"/>
        <v/>
      </c>
      <c r="I39" s="2"/>
      <c r="J39" s="2"/>
      <c r="K39" s="2"/>
      <c r="L39" s="2"/>
      <c r="M39" s="2" t="str">
        <f t="shared" si="56"/>
        <v/>
      </c>
      <c r="N39" s="2"/>
      <c r="O39" s="2"/>
      <c r="P39" s="2"/>
      <c r="Q39" s="2" t="str">
        <f t="shared" si="59"/>
        <v/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>
      <c r="A40" s="2" t="s">
        <v>14</v>
      </c>
      <c r="B40" s="14">
        <v>165.0</v>
      </c>
      <c r="C40" s="2">
        <f t="shared" ref="C40:C42" si="77">B40-11</f>
        <v>154</v>
      </c>
      <c r="D40" s="13">
        <f t="shared" si="50"/>
        <v>154</v>
      </c>
      <c r="E40" s="13">
        <f t="shared" ref="E40:E42" si="78">B40+1</f>
        <v>166</v>
      </c>
      <c r="F40" s="14">
        <v>0.0</v>
      </c>
      <c r="G40" s="2">
        <f t="shared" ref="G40:G42" si="79">F40+11</f>
        <v>11</v>
      </c>
      <c r="H40" s="13">
        <f t="shared" si="53"/>
        <v>0</v>
      </c>
      <c r="I40" s="13">
        <f t="shared" ref="I40:I42" si="80">G40+1</f>
        <v>12</v>
      </c>
      <c r="J40" s="2"/>
      <c r="K40" s="14">
        <v>165.0</v>
      </c>
      <c r="L40" s="2">
        <f t="shared" ref="L40:L42" si="81">K40-7</f>
        <v>158</v>
      </c>
      <c r="M40" s="13">
        <f t="shared" si="56"/>
        <v>158</v>
      </c>
      <c r="N40" s="13">
        <f t="shared" ref="N40:N42" si="82">K40+1</f>
        <v>166</v>
      </c>
      <c r="O40" s="14">
        <v>0.0</v>
      </c>
      <c r="P40" s="2">
        <f t="shared" ref="P40:P42" si="83">O40+7</f>
        <v>7</v>
      </c>
      <c r="Q40" s="13">
        <f t="shared" si="59"/>
        <v>0</v>
      </c>
      <c r="R40" s="13">
        <f t="shared" ref="R40:R42" si="84">P40+1</f>
        <v>8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>
      <c r="A41" s="2" t="s">
        <v>15</v>
      </c>
      <c r="B41" s="2">
        <f t="shared" ref="B41:B42" si="85">B40-3</f>
        <v>162</v>
      </c>
      <c r="C41" s="2">
        <f t="shared" si="77"/>
        <v>151</v>
      </c>
      <c r="D41" s="13">
        <f t="shared" si="50"/>
        <v>151</v>
      </c>
      <c r="E41" s="13">
        <f t="shared" si="78"/>
        <v>163</v>
      </c>
      <c r="F41" s="2">
        <f t="shared" ref="F41:F42" si="86">F40+3</f>
        <v>3</v>
      </c>
      <c r="G41" s="2">
        <f t="shared" si="79"/>
        <v>14</v>
      </c>
      <c r="H41" s="13">
        <f t="shared" si="53"/>
        <v>3</v>
      </c>
      <c r="I41" s="13">
        <f t="shared" si="80"/>
        <v>15</v>
      </c>
      <c r="J41" s="2"/>
      <c r="K41" s="2">
        <f t="shared" ref="K41:K42" si="87">K40+3</f>
        <v>168</v>
      </c>
      <c r="L41" s="2">
        <f t="shared" si="81"/>
        <v>161</v>
      </c>
      <c r="M41" s="13">
        <f t="shared" si="56"/>
        <v>161</v>
      </c>
      <c r="N41" s="13">
        <f t="shared" si="82"/>
        <v>169</v>
      </c>
      <c r="O41" s="2">
        <f t="shared" ref="O41:O42" si="88">O40+3</f>
        <v>3</v>
      </c>
      <c r="P41" s="2">
        <f t="shared" si="83"/>
        <v>10</v>
      </c>
      <c r="Q41" s="13">
        <f t="shared" si="59"/>
        <v>3</v>
      </c>
      <c r="R41" s="13">
        <f t="shared" si="84"/>
        <v>11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>
      <c r="A42" s="2" t="s">
        <v>17</v>
      </c>
      <c r="B42" s="2">
        <f t="shared" si="85"/>
        <v>159</v>
      </c>
      <c r="C42" s="2">
        <f t="shared" si="77"/>
        <v>148</v>
      </c>
      <c r="D42" s="13">
        <f t="shared" si="50"/>
        <v>148</v>
      </c>
      <c r="E42" s="13">
        <f t="shared" si="78"/>
        <v>160</v>
      </c>
      <c r="F42" s="2">
        <f t="shared" si="86"/>
        <v>6</v>
      </c>
      <c r="G42" s="2">
        <f t="shared" si="79"/>
        <v>17</v>
      </c>
      <c r="H42" s="13">
        <f t="shared" si="53"/>
        <v>6</v>
      </c>
      <c r="I42" s="13">
        <f t="shared" si="80"/>
        <v>18</v>
      </c>
      <c r="J42" s="2"/>
      <c r="K42" s="2">
        <f t="shared" si="87"/>
        <v>171</v>
      </c>
      <c r="L42" s="2">
        <f t="shared" si="81"/>
        <v>164</v>
      </c>
      <c r="M42" s="13">
        <f t="shared" si="56"/>
        <v>164</v>
      </c>
      <c r="N42" s="13">
        <f t="shared" si="82"/>
        <v>172</v>
      </c>
      <c r="O42" s="2">
        <f t="shared" si="88"/>
        <v>6</v>
      </c>
      <c r="P42" s="2">
        <f t="shared" si="83"/>
        <v>13</v>
      </c>
      <c r="Q42" s="13">
        <f t="shared" si="59"/>
        <v>6</v>
      </c>
      <c r="R42" s="13">
        <f t="shared" si="84"/>
        <v>14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1" t="s">
        <v>18</v>
      </c>
    </row>
    <row r="45">
      <c r="A45" s="3" t="s">
        <v>14</v>
      </c>
      <c r="B45" s="14"/>
      <c r="C45" s="15">
        <f>B45-9</f>
        <v>-9</v>
      </c>
      <c r="D45" s="13">
        <f t="shared" ref="D45:D47" si="89">C45</f>
        <v>-9</v>
      </c>
      <c r="E45" s="13">
        <f t="shared" ref="E45:E47" si="90">B45+1</f>
        <v>1</v>
      </c>
      <c r="F45" s="14"/>
      <c r="G45" s="15">
        <f>F45+9</f>
        <v>9</v>
      </c>
      <c r="H45" s="13" t="str">
        <f t="shared" ref="H45:H47" si="91">F45</f>
        <v/>
      </c>
      <c r="I45" s="13">
        <f>G45+1</f>
        <v>10</v>
      </c>
    </row>
    <row r="46">
      <c r="A46" s="3" t="s">
        <v>13</v>
      </c>
      <c r="B46" s="14"/>
      <c r="C46" s="15">
        <f>B46-7</f>
        <v>-7</v>
      </c>
      <c r="D46" s="13">
        <f t="shared" si="89"/>
        <v>-7</v>
      </c>
      <c r="E46" s="13">
        <f t="shared" si="90"/>
        <v>1</v>
      </c>
      <c r="F46" s="14"/>
      <c r="G46" s="15">
        <f>F46-7</f>
        <v>-7</v>
      </c>
      <c r="H46" s="13" t="str">
        <f t="shared" si="91"/>
        <v/>
      </c>
      <c r="I46" s="13">
        <f>H46+1</f>
        <v>1</v>
      </c>
    </row>
    <row r="47">
      <c r="A47" s="3" t="s">
        <v>15</v>
      </c>
      <c r="B47" s="14"/>
      <c r="C47" s="15">
        <f>B47-9</f>
        <v>-9</v>
      </c>
      <c r="D47" s="13">
        <f t="shared" si="89"/>
        <v>-9</v>
      </c>
      <c r="E47" s="13">
        <f t="shared" si="90"/>
        <v>1</v>
      </c>
      <c r="F47" s="14"/>
      <c r="G47" s="15">
        <f>F47+9</f>
        <v>9</v>
      </c>
      <c r="H47" s="13" t="str">
        <f t="shared" si="91"/>
        <v/>
      </c>
      <c r="I47" s="13">
        <f>G47+1</f>
        <v>10</v>
      </c>
    </row>
    <row r="49">
      <c r="A49" s="3" t="s">
        <v>19</v>
      </c>
      <c r="B49" s="3">
        <v>348.0</v>
      </c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</sheetData>
  <mergeCells count="19">
    <mergeCell ref="B3:E3"/>
    <mergeCell ref="F3:I3"/>
    <mergeCell ref="B4:C4"/>
    <mergeCell ref="D4:E4"/>
    <mergeCell ref="F4:G4"/>
    <mergeCell ref="H4:I4"/>
    <mergeCell ref="K9:R9"/>
    <mergeCell ref="H11:I11"/>
    <mergeCell ref="K11:L11"/>
    <mergeCell ref="M11:N11"/>
    <mergeCell ref="O11:P11"/>
    <mergeCell ref="B10:E10"/>
    <mergeCell ref="F10:I10"/>
    <mergeCell ref="K10:N10"/>
    <mergeCell ref="O10:R10"/>
    <mergeCell ref="B11:C11"/>
    <mergeCell ref="D11:E11"/>
    <mergeCell ref="F11:G11"/>
    <mergeCell ref="Q11:R11"/>
  </mergeCells>
  <printOptions/>
  <pageMargins bottom="0.787401575" footer="0.0" header="0.0" left="0.7" right="0.7" top="0.787401575"/>
  <pageSetup paperSize="9" orientation="portrait"/>
  <drawing r:id="rId1"/>
</worksheet>
</file>